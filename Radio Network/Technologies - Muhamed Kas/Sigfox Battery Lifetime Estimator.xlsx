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filterPrivacy="1"/>
  <xr:revisionPtr revIDLastSave="0" documentId="13_ncr:1_{5DDCCE9A-ACD9-4029-B61F-BD405A9E378A}" xr6:coauthVersionLast="46" xr6:coauthVersionMax="46" xr10:uidLastSave="{00000000-0000-0000-0000-000000000000}"/>
  <bookViews>
    <workbookView xWindow="-108" yWindow="-108" windowWidth="23256" windowHeight="12576" xr2:uid="{00000000-000D-0000-FFFF-FFFF00000000}"/>
  </bookViews>
  <sheets>
    <sheet name="Main" sheetId="1" r:id="rId1"/>
  </sheets>
  <definedNames>
    <definedName name="BatAgeAlkaline">Main!$B$17</definedName>
    <definedName name="BatAgeLithium">Main!$B$16</definedName>
    <definedName name="BatCapAlkalineZ1">Main!$B$15</definedName>
    <definedName name="BatCapAlkalineZ4">Main!$C$15</definedName>
    <definedName name="BatCapLithiumZ1">Main!$B$14</definedName>
    <definedName name="BatCapLithiumZ4">Main!$C$14</definedName>
    <definedName name="BaudZ1">Main!$B$10</definedName>
    <definedName name="BaudZ4">Main!$C$10</definedName>
    <definedName name="DaysAlkalineZ1">Main!$B$33</definedName>
    <definedName name="DaysAlkalineZ4">Main!$C$33</definedName>
    <definedName name="DaysLithiumZ1">Main!$B$29</definedName>
    <definedName name="DaysLithiumZ4">Main!$C$29</definedName>
    <definedName name="GPS_Cap">Main!$B$25</definedName>
    <definedName name="GPS_Current">Main!$B$11</definedName>
    <definedName name="GPS_Time">Main!$B$22</definedName>
    <definedName name="Positions">Main!$B$21</definedName>
    <definedName name="RxCapZ1">Main!$B$18</definedName>
    <definedName name="RxCapZ4">Main!$C$18</definedName>
    <definedName name="Sleep_Cold">Main!$B$13</definedName>
    <definedName name="Sleep_Hot">Main!$B$12</definedName>
    <definedName name="SleepCap_Daily">Main!$B$24</definedName>
    <definedName name="Tx_CurrentZ1">Main!$B$7</definedName>
    <definedName name="Tx_CurrentZ4">Main!$C$7</definedName>
    <definedName name="Tx_Reps">Main!$B$8</definedName>
    <definedName name="TxCapZ1">Main!$B$19</definedName>
    <definedName name="TxCapZ4">Main!$C$19</definedName>
    <definedName name="TxTimeZ1">Main!$B$9</definedName>
    <definedName name="TxTimeZ4">Main!$C$9</definedName>
    <definedName name="YearsAlkalineZ1">Main!$B$34</definedName>
    <definedName name="YearsAlkalineZ4">Main!$C$34</definedName>
    <definedName name="YearsLithiumZ1">Main!$B$30</definedName>
    <definedName name="YearsLithiumZ4">Main!$C$30</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9" i="1" l="1"/>
  <c r="B25" i="1"/>
  <c r="B9" i="1" l="1"/>
  <c r="B19" i="1" s="1"/>
  <c r="B24" i="1" l="1"/>
  <c r="B33" i="1" l="1"/>
  <c r="B34" i="1" s="1"/>
  <c r="B29" i="1"/>
  <c r="B30" i="1" s="1"/>
  <c r="C19" i="1"/>
  <c r="C29" i="1" s="1"/>
  <c r="C33" i="1" l="1"/>
  <c r="C34" i="1" s="1"/>
  <c r="C30" i="1"/>
</calcChain>
</file>

<file path=xl/sharedStrings.xml><?xml version="1.0" encoding="utf-8"?>
<sst xmlns="http://schemas.openxmlformats.org/spreadsheetml/2006/main" count="47" uniqueCount="42">
  <si>
    <t>Tx Current</t>
  </si>
  <si>
    <t>Tx Repetitions</t>
  </si>
  <si>
    <t>Tx Time</t>
  </si>
  <si>
    <t>Baud</t>
  </si>
  <si>
    <t>Tx mAh</t>
  </si>
  <si>
    <t>GPS Current</t>
  </si>
  <si>
    <t>GPS Time</t>
  </si>
  <si>
    <t>GPS mAh</t>
  </si>
  <si>
    <t>Rx mAh</t>
  </si>
  <si>
    <t>Including micro</t>
  </si>
  <si>
    <t>Positions a day</t>
  </si>
  <si>
    <t>Days</t>
  </si>
  <si>
    <t>Years</t>
  </si>
  <si>
    <t>Assuming 'One' plan if positions &lt;= 2, affects Rx statistics</t>
  </si>
  <si>
    <t>Sleep (Hot) mA</t>
  </si>
  <si>
    <t>Sleep (Cold) mA</t>
  </si>
  <si>
    <t>Sleep mAh</t>
  </si>
  <si>
    <t>3.7 uA for micro, 6 uA for accelerometer, 13 uA for GPS</t>
  </si>
  <si>
    <t>3.7 uA for micro, 6 uA for accelerometer</t>
  </si>
  <si>
    <t>Region</t>
  </si>
  <si>
    <t>Australia (Z4)</t>
  </si>
  <si>
    <t>Europe, SA (Z1)</t>
  </si>
  <si>
    <t>Notes</t>
  </si>
  <si>
    <t>Z1 current not yet directly measured</t>
  </si>
  <si>
    <t>Including micro. Z1 value not yet directly measured.</t>
  </si>
  <si>
    <t>Battery mAh - Lithium</t>
  </si>
  <si>
    <t>Battery mAh -Alkaline</t>
  </si>
  <si>
    <t>Lithium Batteries</t>
  </si>
  <si>
    <t>Alkaline slightly better in Z1 due to lower current</t>
  </si>
  <si>
    <t>Including sleep currents at 23 C</t>
  </si>
  <si>
    <t>Per day</t>
  </si>
  <si>
    <t>Per fix</t>
  </si>
  <si>
    <t>Battery Aging - Lithium</t>
  </si>
  <si>
    <t>Battery Aging -Alkaline</t>
  </si>
  <si>
    <t>Temperature dependent. % per annum.</t>
  </si>
  <si>
    <t>Highly temperature dependent. % per annum.</t>
  </si>
  <si>
    <t>Important:</t>
  </si>
  <si>
    <t>This spreadsheet is provided as an estimating tool. Digital Matter makes no claim or warranty to the results. The battery life of devices is dependant on many different factors including the installation location, battery quality, asset activity and temperature, among other things</t>
  </si>
  <si>
    <t>Modify these cells. At 1 position or fewer per 4 hours, GPS Time is a cold start, typically 30 to 120 seconds. At 1 position or more per hour, it's typically a hot start, typically 5 to 20 seconds (shorter time between fixes = quicker fix).</t>
  </si>
  <si>
    <t>Alkaline Batteries</t>
  </si>
  <si>
    <t>Constants</t>
  </si>
  <si>
    <t>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</si>
</sst>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rgb="FFFF0000"/>
      <name val="Calibri"/>
      <family val="2"/>
      <scheme val="minor"/>
    </font>
    <font>
      <b/>
      <sz val="14"/>
      <color rgb="FFFF0000"/>
      <name val="Calibri"/>
      <family val="2"/>
      <scheme val="minor"/>
    </font>
    <font>
      <b/>
      <sz val="11"/>
      <color rgb="FFFF0000"/>
      <name val="Calibri"/>
      <family val="2"/>
      <scheme val="minor"/>
    </font>
    <font>
      <sz val="11"/>
      <color rgb="FF006100"/>
      <name val="Calibri"/>
      <family val="2"/>
      <scheme val="minor"/>
    </font>
    <font>
      <sz val="11"/>
      <color rgb="FF3F3F76"/>
      <name val="Calibri"/>
      <family val="2"/>
      <scheme val="minor"/>
    </font>
    <font>
      <b/>
      <sz val="11"/>
      <color rgb="FF006100"/>
      <name val="Calibri"/>
      <family val="2"/>
      <scheme val="minor"/>
    </font>
    <font>
      <b/>
      <sz val="16"/>
      <color rgb="FF006100"/>
      <name val="Calibri"/>
      <family val="2"/>
      <scheme val="minor"/>
    </font>
    <font>
      <b/>
      <sz val="11"/>
      <color rgb="FF3F3F76"/>
      <name val="Calibri"/>
      <family val="2"/>
      <scheme val="minor"/>
    </font>
    <font>
      <b/>
      <sz val="14"/>
      <color rgb="FF3F3F76"/>
      <name val="Calibri"/>
      <family val="2"/>
      <scheme val="minor"/>
    </font>
  </fonts>
  <fills count="5">
    <fill>
      <patternFill patternType="none"/>
    </fill>
    <fill>
      <patternFill patternType="gray125"/>
    </fill>
    <fill>
      <patternFill patternType="solid">
        <fgColor rgb="FFFFFF99"/>
        <bgColor indexed="64"/>
      </patternFill>
    </fill>
    <fill>
      <patternFill patternType="solid">
        <fgColor rgb="FFC6EFCE"/>
      </patternFill>
    </fill>
    <fill>
      <patternFill patternType="solid">
        <fgColor rgb="FFFFCC99"/>
      </patternFill>
    </fill>
  </fills>
  <borders count="1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0" fontId="6" fillId="3" borderId="0" applyNumberFormat="0" applyBorder="0" applyAlignment="0" applyProtection="0"/>
    <xf numFmtId="0" fontId="7" fillId="4" borderId="1" applyNumberFormat="0" applyAlignment="0" applyProtection="0"/>
  </cellStyleXfs>
  <cellXfs count="47">
    <xf numFmtId="0" fontId="0" fillId="0" borderId="0" xfId="0"/>
    <xf numFmtId="0" fontId="1" fillId="0" borderId="0" xfId="0" applyFont="1"/>
    <xf numFmtId="164" fontId="1" fillId="0" borderId="0" xfId="0" applyNumberFormat="1" applyFont="1"/>
    <xf numFmtId="1" fontId="1" fillId="0" borderId="0" xfId="0" applyNumberFormat="1" applyFont="1"/>
    <xf numFmtId="165" fontId="1" fillId="0" borderId="0" xfId="0" applyNumberFormat="1" applyFont="1"/>
    <xf numFmtId="0" fontId="0" fillId="0" borderId="0" xfId="0" applyFont="1" applyAlignment="1">
      <alignment horizontal="center"/>
    </xf>
    <xf numFmtId="0" fontId="0" fillId="0" borderId="0" xfId="0" applyFont="1"/>
    <xf numFmtId="0" fontId="2" fillId="0" borderId="0" xfId="0" applyFont="1"/>
    <xf numFmtId="2" fontId="1" fillId="0" borderId="0" xfId="0" applyNumberFormat="1" applyFont="1"/>
    <xf numFmtId="0" fontId="4" fillId="0" borderId="0" xfId="0" applyFont="1"/>
    <xf numFmtId="0" fontId="1" fillId="0" borderId="0" xfId="0" applyFont="1" applyAlignment="1">
      <alignment horizontal="center"/>
    </xf>
    <xf numFmtId="0" fontId="0" fillId="0" borderId="0" xfId="0" applyFont="1" applyAlignment="1">
      <alignment horizontal="center"/>
    </xf>
    <xf numFmtId="164" fontId="1" fillId="0" borderId="0" xfId="0" applyNumberFormat="1" applyFont="1" applyAlignment="1">
      <alignment horizontal="center"/>
    </xf>
    <xf numFmtId="0" fontId="1" fillId="0" borderId="0" xfId="0" applyFont="1" applyBorder="1"/>
    <xf numFmtId="0" fontId="1" fillId="0" borderId="6" xfId="0" applyFont="1" applyBorder="1"/>
    <xf numFmtId="0" fontId="1" fillId="0" borderId="0" xfId="0" applyFont="1" applyBorder="1" applyAlignment="1"/>
    <xf numFmtId="0" fontId="1" fillId="0" borderId="6" xfId="0" applyFont="1" applyBorder="1" applyAlignment="1"/>
    <xf numFmtId="164" fontId="1" fillId="0" borderId="8" xfId="0" applyNumberFormat="1" applyFont="1" applyBorder="1"/>
    <xf numFmtId="164" fontId="1" fillId="0" borderId="9" xfId="0" applyNumberFormat="1" applyFont="1" applyBorder="1"/>
    <xf numFmtId="0" fontId="6" fillId="3" borderId="2" xfId="2" applyBorder="1"/>
    <xf numFmtId="0" fontId="6" fillId="3" borderId="5" xfId="2" applyBorder="1"/>
    <xf numFmtId="0" fontId="6" fillId="3" borderId="7" xfId="2" applyBorder="1"/>
    <xf numFmtId="0" fontId="8" fillId="3" borderId="3" xfId="2" applyFont="1" applyBorder="1"/>
    <xf numFmtId="0" fontId="8" fillId="3" borderId="4" xfId="2" applyFont="1" applyBorder="1"/>
    <xf numFmtId="0" fontId="7" fillId="4" borderId="1" xfId="3"/>
    <xf numFmtId="1" fontId="7" fillId="4" borderId="1" xfId="3" applyNumberFormat="1"/>
    <xf numFmtId="165" fontId="7" fillId="4" borderId="1" xfId="3" applyNumberFormat="1"/>
    <xf numFmtId="0" fontId="10" fillId="4" borderId="1" xfId="3" applyFont="1"/>
    <xf numFmtId="0" fontId="9" fillId="3" borderId="8" xfId="2" applyFont="1" applyBorder="1" applyAlignment="1">
      <alignment horizontal="center"/>
    </xf>
    <xf numFmtId="0" fontId="11" fillId="4" borderId="1" xfId="3" applyFont="1" applyAlignment="1">
      <alignment horizontal="center"/>
    </xf>
    <xf numFmtId="0" fontId="1" fillId="0" borderId="0" xfId="0" applyFont="1" applyAlignment="1">
      <alignment horizontal="center"/>
    </xf>
    <xf numFmtId="0" fontId="7" fillId="4" borderId="1" xfId="3" applyAlignment="1">
      <alignment horizontal="center"/>
    </xf>
    <xf numFmtId="0" fontId="0" fillId="0" borderId="0" xfId="0" applyFont="1" applyAlignment="1">
      <alignment horizontal="center"/>
    </xf>
    <xf numFmtId="0" fontId="5" fillId="0" borderId="0" xfId="0" applyFont="1" applyAlignment="1">
      <alignment horizontal="center" vertical="center" wrapText="1"/>
    </xf>
    <xf numFmtId="0" fontId="1" fillId="0" borderId="0" xfId="0" applyFont="1" applyBorder="1" applyAlignment="1">
      <alignment horizontal="center"/>
    </xf>
    <xf numFmtId="0" fontId="1" fillId="0" borderId="6" xfId="0" applyFont="1" applyBorder="1" applyAlignment="1">
      <alignment horizontal="center"/>
    </xf>
    <xf numFmtId="164" fontId="1" fillId="0" borderId="0" xfId="0" applyNumberFormat="1" applyFont="1" applyAlignment="1">
      <alignment horizontal="center"/>
    </xf>
    <xf numFmtId="0" fontId="1" fillId="2" borderId="0" xfId="0" applyFont="1" applyFill="1" applyAlignment="1">
      <alignment horizontal="center"/>
    </xf>
    <xf numFmtId="0" fontId="0" fillId="0" borderId="0" xfId="0" applyFont="1" applyBorder="1" applyAlignment="1">
      <alignment horizontal="center"/>
    </xf>
    <xf numFmtId="0" fontId="0" fillId="0" borderId="6" xfId="0" applyFont="1" applyBorder="1" applyAlignment="1">
      <alignment horizontal="center"/>
    </xf>
    <xf numFmtId="9" fontId="1" fillId="0" borderId="0" xfId="1" applyFont="1" applyBorder="1" applyAlignment="1">
      <alignment horizontal="center"/>
    </xf>
    <xf numFmtId="9" fontId="1" fillId="0" borderId="6" xfId="1" applyFont="1" applyBorder="1" applyAlignment="1">
      <alignment horizontal="center"/>
    </xf>
    <xf numFmtId="9" fontId="1" fillId="0" borderId="0" xfId="0" applyNumberFormat="1" applyFont="1" applyBorder="1" applyAlignment="1">
      <alignment horizontal="center"/>
    </xf>
    <xf numFmtId="0" fontId="3" fillId="0" borderId="0" xfId="0" applyFont="1" applyAlignment="1">
      <alignment horizontal="center" wrapText="1"/>
    </xf>
    <xf numFmtId="0" fontId="2" fillId="0" borderId="0" xfId="0" applyFont="1" applyAlignment="1">
      <alignment horizontal="center"/>
    </xf>
    <xf numFmtId="0" fontId="0" fillId="0" borderId="0" xfId="0" applyFont="1" applyAlignment="1">
      <alignment horizontal="center" vertical="center"/>
    </xf>
    <xf numFmtId="0" fontId="1" fillId="0" borderId="0" xfId="0" applyFont="1" applyAlignment="1">
      <alignment horizontal="center" vertical="center"/>
    </xf>
  </cellXfs>
  <cellStyles count="4">
    <cellStyle name="Good" xfId="2" builtinId="26"/>
    <cellStyle name="Input" xfId="3" builtinId="20"/>
    <cellStyle name="Normal" xfId="0" builtinId="0"/>
    <cellStyle name="Percent" xfId="1" builtinId="5"/>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workbookViewId="0">
      <selection activeCell="B22" sqref="B22:C22"/>
    </sheetView>
  </sheetViews>
  <sheetFormatPr defaultColWidth="9.109375" defaultRowHeight="14.4" x14ac:dyDescent="0.3"/>
  <cols>
    <col min="1" max="1" width="21.6640625" style="1" bestFit="1" customWidth="1"/>
    <col min="2" max="2" width="14.109375" style="1" bestFit="1" customWidth="1"/>
    <col min="3" max="3" width="12.44140625" style="1" bestFit="1" customWidth="1"/>
    <col min="4" max="4" width="12.44140625" style="1" customWidth="1"/>
    <col min="5" max="10" width="9.109375" style="1"/>
    <col min="11" max="11" width="9.109375" style="1" customWidth="1"/>
    <col min="12" max="16384" width="9.109375" style="1"/>
  </cols>
  <sheetData>
    <row r="1" spans="1:11" ht="18" x14ac:dyDescent="0.35">
      <c r="A1" s="9" t="s">
        <v>36</v>
      </c>
    </row>
    <row r="2" spans="1:11" ht="54.9" customHeight="1" x14ac:dyDescent="0.3">
      <c r="A2" s="43" t="s">
        <v>37</v>
      </c>
      <c r="B2" s="43"/>
      <c r="C2" s="43"/>
      <c r="D2" s="43"/>
      <c r="E2" s="43"/>
      <c r="F2" s="43"/>
      <c r="G2" s="43"/>
      <c r="H2" s="43"/>
    </row>
    <row r="5" spans="1:11" ht="21.6" thickBot="1" x14ac:dyDescent="0.45">
      <c r="A5" s="28" t="s">
        <v>40</v>
      </c>
      <c r="B5" s="28"/>
      <c r="C5" s="28"/>
    </row>
    <row r="6" spans="1:11" x14ac:dyDescent="0.3">
      <c r="A6" s="19" t="s">
        <v>19</v>
      </c>
      <c r="B6" s="22" t="s">
        <v>21</v>
      </c>
      <c r="C6" s="23" t="s">
        <v>20</v>
      </c>
      <c r="D6" s="6"/>
      <c r="E6" s="44" t="s">
        <v>22</v>
      </c>
      <c r="F6" s="44"/>
      <c r="G6" s="44"/>
      <c r="H6" s="44"/>
      <c r="I6" s="44"/>
      <c r="J6" s="44"/>
      <c r="K6" s="44"/>
    </row>
    <row r="7" spans="1:11" x14ac:dyDescent="0.3">
      <c r="A7" s="20" t="s">
        <v>0</v>
      </c>
      <c r="B7" s="13">
        <v>60</v>
      </c>
      <c r="C7" s="14">
        <v>250</v>
      </c>
      <c r="E7" s="45" t="s">
        <v>23</v>
      </c>
      <c r="F7" s="46"/>
      <c r="G7" s="46"/>
      <c r="H7" s="46"/>
      <c r="I7" s="46"/>
      <c r="J7" s="46"/>
      <c r="K7" s="46"/>
    </row>
    <row r="8" spans="1:11" x14ac:dyDescent="0.3">
      <c r="A8" s="20" t="s">
        <v>1</v>
      </c>
      <c r="B8" s="34">
        <v>2</v>
      </c>
      <c r="C8" s="35"/>
      <c r="E8" s="30"/>
      <c r="F8" s="30"/>
      <c r="G8" s="30"/>
      <c r="H8" s="30"/>
      <c r="I8" s="30"/>
      <c r="J8" s="30"/>
      <c r="K8" s="30"/>
    </row>
    <row r="9" spans="1:11" x14ac:dyDescent="0.3">
      <c r="A9" s="20" t="s">
        <v>2</v>
      </c>
      <c r="B9" s="13">
        <f>26*8/BaudZ1*Tx_Reps</f>
        <v>4.16</v>
      </c>
      <c r="C9" s="14">
        <f>26*8/BaudZ4*Tx_Reps</f>
        <v>0.69333333333333336</v>
      </c>
      <c r="E9" s="30"/>
      <c r="F9" s="30"/>
      <c r="G9" s="30"/>
      <c r="H9" s="30"/>
      <c r="I9" s="30"/>
      <c r="J9" s="30"/>
      <c r="K9" s="30"/>
    </row>
    <row r="10" spans="1:11" x14ac:dyDescent="0.3">
      <c r="A10" s="20" t="s">
        <v>3</v>
      </c>
      <c r="B10" s="13">
        <v>100</v>
      </c>
      <c r="C10" s="14">
        <v>600</v>
      </c>
      <c r="E10" s="30"/>
      <c r="F10" s="30"/>
      <c r="G10" s="30"/>
      <c r="H10" s="30"/>
      <c r="I10" s="30"/>
      <c r="J10" s="30"/>
      <c r="K10" s="30"/>
    </row>
    <row r="11" spans="1:11" x14ac:dyDescent="0.3">
      <c r="A11" s="20" t="s">
        <v>5</v>
      </c>
      <c r="B11" s="34">
        <v>32.4</v>
      </c>
      <c r="C11" s="35"/>
      <c r="E11" s="30" t="s">
        <v>9</v>
      </c>
      <c r="F11" s="30"/>
      <c r="G11" s="30"/>
      <c r="H11" s="30"/>
      <c r="I11" s="30"/>
      <c r="J11" s="30"/>
      <c r="K11" s="30"/>
    </row>
    <row r="12" spans="1:11" x14ac:dyDescent="0.3">
      <c r="A12" s="20" t="s">
        <v>14</v>
      </c>
      <c r="B12" s="38">
        <v>2.3E-2</v>
      </c>
      <c r="C12" s="39"/>
      <c r="D12" s="6"/>
      <c r="E12" s="32" t="s">
        <v>17</v>
      </c>
      <c r="F12" s="30"/>
      <c r="G12" s="30"/>
      <c r="H12" s="30"/>
      <c r="I12" s="30"/>
      <c r="J12" s="30"/>
      <c r="K12" s="30"/>
    </row>
    <row r="13" spans="1:11" x14ac:dyDescent="0.3">
      <c r="A13" s="20" t="s">
        <v>15</v>
      </c>
      <c r="B13" s="38">
        <v>0.01</v>
      </c>
      <c r="C13" s="39"/>
      <c r="D13" s="6"/>
      <c r="E13" s="32" t="s">
        <v>18</v>
      </c>
      <c r="F13" s="30"/>
      <c r="G13" s="30"/>
      <c r="H13" s="30"/>
      <c r="I13" s="30"/>
      <c r="J13" s="30"/>
      <c r="K13" s="30"/>
    </row>
    <row r="14" spans="1:11" x14ac:dyDescent="0.3">
      <c r="A14" s="20" t="s">
        <v>25</v>
      </c>
      <c r="B14" s="15">
        <v>3100</v>
      </c>
      <c r="C14" s="16">
        <v>3100</v>
      </c>
      <c r="E14" s="32"/>
      <c r="F14" s="30"/>
      <c r="G14" s="30"/>
      <c r="H14" s="30"/>
      <c r="I14" s="30"/>
      <c r="J14" s="30"/>
      <c r="K14" s="30"/>
    </row>
    <row r="15" spans="1:11" x14ac:dyDescent="0.3">
      <c r="A15" s="20" t="s">
        <v>26</v>
      </c>
      <c r="B15" s="15">
        <v>2500</v>
      </c>
      <c r="C15" s="16">
        <v>2400</v>
      </c>
      <c r="E15" s="32" t="s">
        <v>28</v>
      </c>
      <c r="F15" s="32"/>
      <c r="G15" s="32"/>
      <c r="H15" s="32"/>
      <c r="I15" s="32"/>
      <c r="J15" s="32"/>
      <c r="K15" s="32"/>
    </row>
    <row r="16" spans="1:11" x14ac:dyDescent="0.3">
      <c r="A16" s="20" t="s">
        <v>32</v>
      </c>
      <c r="B16" s="40">
        <v>0.03</v>
      </c>
      <c r="C16" s="41"/>
      <c r="E16" s="32" t="s">
        <v>34</v>
      </c>
      <c r="F16" s="32"/>
      <c r="G16" s="32"/>
      <c r="H16" s="32"/>
      <c r="I16" s="32"/>
      <c r="J16" s="32"/>
      <c r="K16" s="32"/>
    </row>
    <row r="17" spans="1:11" x14ac:dyDescent="0.3">
      <c r="A17" s="20" t="s">
        <v>33</v>
      </c>
      <c r="B17" s="42">
        <v>0.06</v>
      </c>
      <c r="C17" s="35"/>
      <c r="D17" s="8"/>
      <c r="E17" s="32" t="s">
        <v>35</v>
      </c>
      <c r="F17" s="32"/>
      <c r="G17" s="32"/>
      <c r="H17" s="32"/>
      <c r="I17" s="32"/>
      <c r="J17" s="32"/>
      <c r="K17" s="32"/>
    </row>
    <row r="18" spans="1:11" x14ac:dyDescent="0.3">
      <c r="A18" s="20" t="s">
        <v>8</v>
      </c>
      <c r="B18" s="13">
        <v>0.34799999999999998</v>
      </c>
      <c r="C18" s="14">
        <v>0.32</v>
      </c>
      <c r="E18" s="32" t="s">
        <v>24</v>
      </c>
      <c r="F18" s="30"/>
      <c r="G18" s="30"/>
      <c r="H18" s="30"/>
      <c r="I18" s="30"/>
      <c r="J18" s="30"/>
      <c r="K18" s="30"/>
    </row>
    <row r="19" spans="1:11" ht="15" thickBot="1" x14ac:dyDescent="0.35">
      <c r="A19" s="21" t="s">
        <v>4</v>
      </c>
      <c r="B19" s="17">
        <f>TxTimeZ1/3600*Tx_CurrentZ1</f>
        <v>6.933333333333333E-2</v>
      </c>
      <c r="C19" s="18">
        <f>TxTimeZ4/3600*Tx_CurrentZ4</f>
        <v>4.8148148148148148E-2</v>
      </c>
      <c r="D19" s="2"/>
      <c r="E19" s="32" t="s">
        <v>24</v>
      </c>
      <c r="F19" s="30"/>
      <c r="G19" s="30"/>
      <c r="H19" s="30"/>
      <c r="I19" s="30"/>
      <c r="J19" s="30"/>
      <c r="K19" s="30"/>
    </row>
    <row r="20" spans="1:11" x14ac:dyDescent="0.3">
      <c r="A20" s="7"/>
      <c r="B20" s="5"/>
      <c r="C20" s="5"/>
      <c r="D20" s="6"/>
      <c r="E20" s="32"/>
      <c r="F20" s="32"/>
      <c r="G20" s="32"/>
      <c r="H20" s="32"/>
      <c r="I20" s="32"/>
      <c r="J20" s="32"/>
      <c r="K20" s="32"/>
    </row>
    <row r="21" spans="1:11" ht="24.6" customHeight="1" x14ac:dyDescent="0.3">
      <c r="A21" s="7" t="s">
        <v>10</v>
      </c>
      <c r="B21" s="37">
        <v>10</v>
      </c>
      <c r="C21" s="37"/>
      <c r="E21" s="33" t="s">
        <v>38</v>
      </c>
      <c r="F21" s="33"/>
      <c r="G21" s="33"/>
      <c r="H21" s="33"/>
      <c r="I21" s="33"/>
      <c r="J21" s="33"/>
      <c r="K21" s="33"/>
    </row>
    <row r="22" spans="1:11" ht="36.75" customHeight="1" x14ac:dyDescent="0.3">
      <c r="A22" s="7" t="s">
        <v>6</v>
      </c>
      <c r="B22" s="37">
        <v>10</v>
      </c>
      <c r="C22" s="37"/>
      <c r="E22" s="33"/>
      <c r="F22" s="33"/>
      <c r="G22" s="33"/>
      <c r="H22" s="33"/>
      <c r="I22" s="33"/>
      <c r="J22" s="33"/>
      <c r="K22" s="33"/>
    </row>
    <row r="23" spans="1:11" x14ac:dyDescent="0.3">
      <c r="E23" s="30"/>
      <c r="F23" s="30"/>
      <c r="G23" s="30"/>
      <c r="H23" s="30"/>
      <c r="I23" s="30"/>
      <c r="J23" s="30"/>
      <c r="K23" s="30"/>
    </row>
    <row r="24" spans="1:11" x14ac:dyDescent="0.3">
      <c r="A24" s="7" t="s">
        <v>16</v>
      </c>
      <c r="B24" s="30">
        <f>IF(Positions&lt;=6,Positions*4*Sleep_Hot + (24-Positions*4)*Sleep_Cold,Sleep_Hot*24)</f>
        <v>0.55200000000000005</v>
      </c>
      <c r="C24" s="30"/>
      <c r="E24" s="32" t="s">
        <v>30</v>
      </c>
      <c r="F24" s="30"/>
      <c r="G24" s="30"/>
      <c r="H24" s="30"/>
      <c r="I24" s="30"/>
      <c r="J24" s="30"/>
      <c r="K24" s="30"/>
    </row>
    <row r="25" spans="1:11" x14ac:dyDescent="0.3">
      <c r="A25" s="7" t="s">
        <v>7</v>
      </c>
      <c r="B25" s="36">
        <f>GPS_Time/3600*GPS_Current</f>
        <v>0.09</v>
      </c>
      <c r="C25" s="36"/>
      <c r="D25" s="2"/>
      <c r="E25" s="32" t="s">
        <v>31</v>
      </c>
      <c r="F25" s="30"/>
      <c r="G25" s="30"/>
      <c r="H25" s="30"/>
      <c r="I25" s="30"/>
      <c r="J25" s="30"/>
      <c r="K25" s="30"/>
    </row>
    <row r="26" spans="1:11" x14ac:dyDescent="0.3">
      <c r="A26" s="7"/>
      <c r="B26" s="12"/>
      <c r="C26" s="12"/>
      <c r="D26" s="2"/>
      <c r="E26" s="11"/>
      <c r="F26" s="10"/>
      <c r="G26" s="10"/>
      <c r="H26" s="10"/>
      <c r="I26" s="10"/>
      <c r="J26" s="10"/>
      <c r="K26" s="10"/>
    </row>
    <row r="27" spans="1:11" ht="18" x14ac:dyDescent="0.35">
      <c r="A27" s="29" t="s">
        <v>41</v>
      </c>
      <c r="B27" s="29"/>
      <c r="C27" s="29"/>
      <c r="D27" s="2"/>
      <c r="E27" s="30"/>
      <c r="F27" s="30"/>
      <c r="G27" s="30"/>
      <c r="H27" s="30"/>
      <c r="I27" s="30"/>
      <c r="J27" s="30"/>
      <c r="K27" s="30"/>
    </row>
    <row r="28" spans="1:11" x14ac:dyDescent="0.3">
      <c r="A28" s="24"/>
      <c r="B28" s="31" t="s">
        <v>27</v>
      </c>
      <c r="C28" s="31"/>
      <c r="D28" s="2"/>
      <c r="E28" s="30"/>
      <c r="F28" s="30"/>
      <c r="G28" s="30"/>
      <c r="H28" s="30"/>
      <c r="I28" s="30"/>
      <c r="J28" s="30"/>
      <c r="K28" s="30"/>
    </row>
    <row r="29" spans="1:11" x14ac:dyDescent="0.3">
      <c r="A29" s="27" t="s">
        <v>11</v>
      </c>
      <c r="B29" s="25">
        <f>BatCapLithiumZ1/(BatAgeLithium*BatCapLithiumZ1/365+SleepCap_Daily+(TxCapZ1 + GPS_Cap)*Positions + RxCapZ1 * (1 + IF(Positions &lt;= 2, (Positions - 1)/8, (Positions - 1)/64)))</f>
        <v>1108.3044576339132</v>
      </c>
      <c r="C29" s="25">
        <f>BatCapLithiumZ4/(BatAgeLithium*BatCapLithiumZ4/365+SleepCap_Daily+(TxCapZ4 + GPS_Cap)*Positions + RxCapZ4 * (1 + IF(Positions &lt;= 2, (Positions - 1)/8, (Positions - 1)/64)))</f>
        <v>1214.126478115182</v>
      </c>
      <c r="D29" s="3"/>
      <c r="E29" s="30" t="s">
        <v>13</v>
      </c>
      <c r="F29" s="30"/>
      <c r="G29" s="30"/>
      <c r="H29" s="30"/>
      <c r="I29" s="30"/>
      <c r="J29" s="30"/>
      <c r="K29" s="30"/>
    </row>
    <row r="30" spans="1:11" x14ac:dyDescent="0.3">
      <c r="A30" s="27" t="s">
        <v>12</v>
      </c>
      <c r="B30" s="26">
        <f>DaysLithiumZ1/365</f>
        <v>3.0364505688600363</v>
      </c>
      <c r="C30" s="26">
        <f>DaysLithiumZ4/365</f>
        <v>3.3263739126443341</v>
      </c>
      <c r="D30" s="4"/>
      <c r="E30" s="32" t="s">
        <v>29</v>
      </c>
      <c r="F30" s="30"/>
      <c r="G30" s="30"/>
      <c r="H30" s="30"/>
      <c r="I30" s="30"/>
      <c r="J30" s="30"/>
      <c r="K30" s="30"/>
    </row>
    <row r="31" spans="1:11" x14ac:dyDescent="0.3">
      <c r="A31" s="27"/>
      <c r="B31" s="24"/>
      <c r="C31" s="24"/>
      <c r="E31" s="30"/>
      <c r="F31" s="30"/>
      <c r="G31" s="30"/>
      <c r="H31" s="30"/>
      <c r="I31" s="30"/>
      <c r="J31" s="30"/>
      <c r="K31" s="30"/>
    </row>
    <row r="32" spans="1:11" x14ac:dyDescent="0.3">
      <c r="A32" s="27"/>
      <c r="B32" s="31" t="s">
        <v>39</v>
      </c>
      <c r="C32" s="31"/>
      <c r="E32" s="30"/>
      <c r="F32" s="30"/>
      <c r="G32" s="30"/>
      <c r="H32" s="30"/>
      <c r="I32" s="30"/>
      <c r="J32" s="30"/>
      <c r="K32" s="30"/>
    </row>
    <row r="33" spans="1:11" x14ac:dyDescent="0.3">
      <c r="A33" s="27" t="s">
        <v>11</v>
      </c>
      <c r="B33" s="25">
        <f>BatCapAlkalineZ1/(BatAgeAlkaline*BatCapAlkalineZ1/365+SleepCap_Daily+(TxCapZ1 + GPS_Cap)*Positions + RxCapZ1 * (1 + IF(Positions &lt;= 2, (Positions - 1)/8, (Positions - 1)/64)))</f>
        <v>846.53082295068759</v>
      </c>
      <c r="C33" s="25">
        <f>BatCapAlkalineZ4/(BatAgeAlkaline*BatCapAlkalineZ4/365+SleepCap_Daily+(TxCapZ4 + GPS_Cap)*Positions + RxCapZ4 * (1 + IF(Positions &lt;= 2, (Positions - 1)/8, (Positions - 1)/64)))</f>
        <v>891.19873426569086</v>
      </c>
      <c r="E33" s="30" t="s">
        <v>13</v>
      </c>
      <c r="F33" s="30"/>
      <c r="G33" s="30"/>
      <c r="H33" s="30"/>
      <c r="I33" s="30"/>
      <c r="J33" s="30"/>
      <c r="K33" s="30"/>
    </row>
    <row r="34" spans="1:11" x14ac:dyDescent="0.3">
      <c r="A34" s="27" t="s">
        <v>12</v>
      </c>
      <c r="B34" s="26">
        <f>DaysAlkalineZ1/365</f>
        <v>2.319262528632021</v>
      </c>
      <c r="C34" s="26">
        <f>DaysAlkalineZ4/365</f>
        <v>2.4416403678512077</v>
      </c>
      <c r="E34" s="32" t="s">
        <v>29</v>
      </c>
      <c r="F34" s="30"/>
      <c r="G34" s="30"/>
      <c r="H34" s="30"/>
      <c r="I34" s="30"/>
      <c r="J34" s="30"/>
      <c r="K34" s="30"/>
    </row>
  </sheetData>
  <mergeCells count="42">
    <mergeCell ref="A2:H2"/>
    <mergeCell ref="E6:K6"/>
    <mergeCell ref="E9:K9"/>
    <mergeCell ref="E24:K24"/>
    <mergeCell ref="E25:K25"/>
    <mergeCell ref="E11:K11"/>
    <mergeCell ref="E7:K7"/>
    <mergeCell ref="E8:K8"/>
    <mergeCell ref="E14:K14"/>
    <mergeCell ref="E18:K18"/>
    <mergeCell ref="E10:K10"/>
    <mergeCell ref="E19:K19"/>
    <mergeCell ref="E13:K13"/>
    <mergeCell ref="E12:K12"/>
    <mergeCell ref="E16:K16"/>
    <mergeCell ref="E17:K17"/>
    <mergeCell ref="B32:C32"/>
    <mergeCell ref="E30:K30"/>
    <mergeCell ref="E21:K22"/>
    <mergeCell ref="B8:C8"/>
    <mergeCell ref="B25:C25"/>
    <mergeCell ref="E20:K20"/>
    <mergeCell ref="E23:K23"/>
    <mergeCell ref="B11:C11"/>
    <mergeCell ref="B22:C22"/>
    <mergeCell ref="B12:C12"/>
    <mergeCell ref="B13:C13"/>
    <mergeCell ref="B16:C16"/>
    <mergeCell ref="B17:C17"/>
    <mergeCell ref="E15:K15"/>
    <mergeCell ref="B21:C21"/>
    <mergeCell ref="B24:C24"/>
    <mergeCell ref="E33:K33"/>
    <mergeCell ref="E34:K34"/>
    <mergeCell ref="E28:K28"/>
    <mergeCell ref="E31:K31"/>
    <mergeCell ref="E32:K32"/>
    <mergeCell ref="A5:C5"/>
    <mergeCell ref="A27:C27"/>
    <mergeCell ref="E29:K29"/>
    <mergeCell ref="E27:K27"/>
    <mergeCell ref="B28:C28"/>
  </mergeCells>
  <pageMargins left="0.7" right="0.7" top="0.75" bottom="0.75" header="0.3" footer="0.3"/>
  <pageSetup paperSize="9"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F7E722E7D33974986DB78B7FAB90374" ma:contentTypeVersion="8" ma:contentTypeDescription="Create a new document." ma:contentTypeScope="" ma:versionID="542eb489071545542dd3615179137757">
  <xsd:schema xmlns:xsd="http://www.w3.org/2001/XMLSchema" xmlns:xs="http://www.w3.org/2001/XMLSchema" xmlns:p="http://schemas.microsoft.com/office/2006/metadata/properties" xmlns:ns2="ba1e2f0f-0ee4-48cc-96a7-7a6e2b91bbb4" xmlns:ns3="51b02070-041a-4ac4-a9db-47236743d6a1" targetNamespace="http://schemas.microsoft.com/office/2006/metadata/properties" ma:root="true" ma:fieldsID="a45acf3d0e98f796e707acab329a6a01" ns2:_="" ns3:_="">
    <xsd:import namespace="ba1e2f0f-0ee4-48cc-96a7-7a6e2b91bbb4"/>
    <xsd:import namespace="51b02070-041a-4ac4-a9db-47236743d6a1"/>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e2f0f-0ee4-48cc-96a7-7a6e2b91bbb4"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1b02070-041a-4ac4-a9db-47236743d6a1"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19E3147-E0B1-4B0A-9636-D2C9ECB0AC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e2f0f-0ee4-48cc-96a7-7a6e2b91bbb4"/>
    <ds:schemaRef ds:uri="51b02070-041a-4ac4-a9db-47236743d6a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8285C0-4FB5-4B13-AA39-A90DDF9A1218}">
  <ds:schemaRefs>
    <ds:schemaRef ds:uri="http://schemas.microsoft.com/sharepoint/v3/contenttype/forms"/>
  </ds:schemaRefs>
</ds:datastoreItem>
</file>

<file path=customXml/itemProps3.xml><?xml version="1.0" encoding="utf-8"?>
<ds:datastoreItem xmlns:ds="http://schemas.openxmlformats.org/officeDocument/2006/customXml" ds:itemID="{3CDFD9A2-20AD-49BF-A432-3A9005623445}">
  <ds:schemaRefs>
    <ds:schemaRef ds:uri="http://schemas.microsoft.com/office/infopath/2007/PartnerControls"/>
    <ds:schemaRef ds:uri="http://purl.org/dc/terms/"/>
    <ds:schemaRef ds:uri="http://schemas.microsoft.com/office/2006/documentManagement/types"/>
    <ds:schemaRef ds:uri="51b02070-041a-4ac4-a9db-47236743d6a1"/>
    <ds:schemaRef ds:uri="http://www.w3.org/XML/1998/namespace"/>
    <ds:schemaRef ds:uri="http://purl.org/dc/elements/1.1/"/>
    <ds:schemaRef ds:uri="http://purl.org/dc/dcmitype/"/>
    <ds:schemaRef ds:uri="http://schemas.openxmlformats.org/package/2006/metadata/core-properties"/>
    <ds:schemaRef ds:uri="ba1e2f0f-0ee4-48cc-96a7-7a6e2b91bbb4"/>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32</vt:i4>
      </vt:variant>
    </vt:vector>
  </HeadingPairs>
  <TitlesOfParts>
    <vt:vector size="33" baseType="lpstr">
      <vt:lpstr>Main</vt:lpstr>
      <vt:lpstr>BatAgeAlkaline</vt:lpstr>
      <vt:lpstr>BatAgeLithium</vt:lpstr>
      <vt:lpstr>BatCapAlkalineZ1</vt:lpstr>
      <vt:lpstr>BatCapAlkalineZ4</vt:lpstr>
      <vt:lpstr>BatCapLithiumZ1</vt:lpstr>
      <vt:lpstr>BatCapLithiumZ4</vt:lpstr>
      <vt:lpstr>BaudZ1</vt:lpstr>
      <vt:lpstr>BaudZ4</vt:lpstr>
      <vt:lpstr>DaysAlkalineZ1</vt:lpstr>
      <vt:lpstr>DaysAlkalineZ4</vt:lpstr>
      <vt:lpstr>DaysLithiumZ1</vt:lpstr>
      <vt:lpstr>DaysLithiumZ4</vt:lpstr>
      <vt:lpstr>GPS_Cap</vt:lpstr>
      <vt:lpstr>GPS_Current</vt:lpstr>
      <vt:lpstr>GPS_Time</vt:lpstr>
      <vt:lpstr>Positions</vt:lpstr>
      <vt:lpstr>RxCapZ1</vt:lpstr>
      <vt:lpstr>RxCapZ4</vt:lpstr>
      <vt:lpstr>Sleep_Cold</vt:lpstr>
      <vt:lpstr>Sleep_Hot</vt:lpstr>
      <vt:lpstr>SleepCap_Daily</vt:lpstr>
      <vt:lpstr>Tx_CurrentZ1</vt:lpstr>
      <vt:lpstr>Tx_CurrentZ4</vt:lpstr>
      <vt:lpstr>Tx_Reps</vt:lpstr>
      <vt:lpstr>TxCapZ1</vt:lpstr>
      <vt:lpstr>TxCapZ4</vt:lpstr>
      <vt:lpstr>TxTimeZ1</vt:lpstr>
      <vt:lpstr>TxTimeZ4</vt:lpstr>
      <vt:lpstr>YearsAlkalineZ1</vt:lpstr>
      <vt:lpstr>YearsAlkalineZ4</vt:lpstr>
      <vt:lpstr>YearsLithiumZ1</vt:lpstr>
      <vt:lpstr>YearsLithiumZ4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2021-06-01T12:17:48Z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0x0101001F7E722E7D33974986DB78B7FAB90374</vt:lpwstr>
  </property>
</Properties>
</file>